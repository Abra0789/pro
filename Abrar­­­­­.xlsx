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<sst xmlns="http://schemas.openxmlformats.org/spreadsheetml/2006/main" count="48" uniqueCount="25">
  <si>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 xml:space="preserve">Roll </t>
  </si>
  <si>
    <t xml:space="preserve">Name </t>
  </si>
  <si>
    <t>Gender</t>
  </si>
  <si>
    <t>Section</t>
  </si>
  <si>
    <t>Marks</t>
  </si>
  <si>
    <t>Passed/Fail</t>
  </si>
  <si>
    <t>Total Marks</t>
  </si>
  <si>
    <t>Max Marks</t>
  </si>
  <si>
    <t>Min Marks</t>
  </si>
  <si>
    <t>3rd Highest</t>
  </si>
  <si>
    <t>2nd Lowest</t>
  </si>
  <si>
    <t>Most Freuent Marks</t>
  </si>
  <si>
    <t>Average Marks</t>
  </si>
  <si>
    <t xml:space="preserve">Two Digit Round of Average </t>
  </si>
  <si>
    <t>Number of Students</t>
  </si>
  <si>
    <t>Total marks of section A</t>
  </si>
  <si>
    <t>Average marks of male students</t>
  </si>
  <si>
    <t>Average marks of female students</t>
  </si>
  <si>
    <t>A</t>
  </si>
  <si>
    <t>Male</t>
  </si>
  <si>
    <t>Bb</t>
  </si>
  <si>
    <t>Female</t>
  </si>
  <si>
    <t>CCC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</si>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</sst>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tabSelected="1" topLeftCell="A6" workbookViewId="0">
      <selection activeCell="A21" sqref="A21:I24"/>
    </sheetView>
  </sheetViews>
  <sheetFormatPr defaultColWidth="9" defaultRowHeight="14.4"/>
  <cols>
    <col min="1" max="1" width="5" customWidth="1"/>
    <col min="2" max="2" width="6.33333333333333" customWidth="1"/>
    <col min="3" max="3" width="6.88888888888889" customWidth="1"/>
    <col min="4" max="4" width="7" customWidth="1"/>
    <col min="5" max="5" width="6" customWidth="1"/>
    <col min="6" max="6" width="10.1111111111111" customWidth="1"/>
    <col min="8" max="8" width="10.6666666666667" customWidth="1"/>
    <col min="9" max="9" width="10" customWidth="1"/>
    <col min="10" max="10" width="9.55555555555556" customWidth="1"/>
    <col min="11" max="11" width="10.1111111111111" customWidth="1"/>
    <col min="12" max="12" width="10.3333333333333" customWidth="1"/>
    <col min="13" max="13" width="17.5555555555556" customWidth="1"/>
    <col min="14" max="14" width="13.1111111111111" customWidth="1"/>
    <col min="15" max="15" width="24.3333333333333" customWidth="1"/>
    <col min="16" max="16" width="17.4444444444444" customWidth="1"/>
    <col min="17" max="17" width="20.8888888888889" customWidth="1"/>
    <col min="18" max="18" width="27.3333333333333" customWidth="1"/>
    <col min="19" max="19" width="29" customWidth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="1" customFormat="1" spans="1:19">
      <c r="A2" s="2">
        <v>1001</v>
      </c>
      <c r="B2" s="2" t="s">
        <v>18</v>
      </c>
      <c r="C2" s="2" t="s">
        <v>19</v>
      </c>
      <c r="D2" s="2" t="s">
        <v>18</v>
      </c>
      <c r="E2" s="2">
        <v>89</v>
      </c>
      <c r="F2" s="2" t="str">
        <f>IF(E2&gt;=33,"Passsed","Fail")</f>
        <v>Passsed</v>
      </c>
      <c r="G2" s="2"/>
      <c r="H2" s="2">
        <f>SUM($E$2:$E$11)</f>
        <v>802</v>
      </c>
      <c r="I2" s="2">
        <f>MAX($E$2:$E$11)</f>
        <v>99</v>
      </c>
      <c r="J2" s="2">
        <f>MIN($E$2:$E$11)</f>
        <v>32</v>
      </c>
      <c r="K2" s="2">
        <f>LARGE($E$2:$E$11,3)</f>
        <v>90</v>
      </c>
      <c r="L2" s="2">
        <f>SMALL($E$2:$E$11,2)</f>
        <v>67</v>
      </c>
      <c r="M2" s="2">
        <f>MODE($E$2:$E$11)</f>
        <v>89</v>
      </c>
      <c r="N2" s="2">
        <f>AVERAGE($E$2:$E$11)</f>
        <v>80.2</v>
      </c>
      <c r="O2" s="2">
        <f>ROUND($N$2,2)</f>
        <v>80.2</v>
      </c>
      <c r="P2" s="2">
        <f>COUNT($A$2:$A$11)</f>
        <v>10</v>
      </c>
      <c r="Q2" s="2">
        <f>SUMIF($D$2:$D$11,"A",$E$2:$E$11)</f>
        <v>513</v>
      </c>
      <c r="R2" s="2">
        <f>AVERAGEIF($C$2:$C$11,"Male",$E$2:$E$11)</f>
        <v>85</v>
      </c>
      <c r="S2" s="2">
        <f>AVERAGEIF($C$2:$C$11,"Female",$E$2:$E$11)</f>
        <v>75.4</v>
      </c>
    </row>
    <row r="3" s="1" customFormat="1" spans="1:19">
      <c r="A3" s="2">
        <v>1002</v>
      </c>
      <c r="B3" s="2" t="s">
        <v>20</v>
      </c>
      <c r="C3" s="2" t="s">
        <v>21</v>
      </c>
      <c r="D3" s="2" t="s">
        <v>18</v>
      </c>
      <c r="E3" s="2">
        <v>99</v>
      </c>
      <c r="F3" s="2" t="str">
        <f t="shared" ref="F3:F11" si="0">IF(E3&gt;=33,"Passsed","Fail")</f>
        <v>Passsed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="1" customFormat="1" spans="1:19">
      <c r="A4" s="2">
        <v>1003</v>
      </c>
      <c r="B4" s="2" t="s">
        <v>22</v>
      </c>
      <c r="C4" s="2" t="s">
        <v>19</v>
      </c>
      <c r="D4" s="2" t="s">
        <v>23</v>
      </c>
      <c r="E4" s="2">
        <v>90</v>
      </c>
      <c r="F4" s="2" t="str">
        <f t="shared" si="0"/>
        <v>Passsed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="1" customFormat="1" spans="1:19">
      <c r="A5" s="2">
        <v>1004</v>
      </c>
      <c r="B5" s="2" t="s">
        <v>18</v>
      </c>
      <c r="C5" s="2" t="s">
        <v>21</v>
      </c>
      <c r="D5" s="2" t="s">
        <v>24</v>
      </c>
      <c r="E5" s="2">
        <v>32</v>
      </c>
      <c r="F5" s="2" t="str">
        <f t="shared" si="0"/>
        <v>Fail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="1" customFormat="1" spans="1:19">
      <c r="A6" s="2">
        <v>1005</v>
      </c>
      <c r="B6" s="2" t="s">
        <v>20</v>
      </c>
      <c r="C6" s="2" t="s">
        <v>21</v>
      </c>
      <c r="D6" s="2" t="s">
        <v>18</v>
      </c>
      <c r="E6" s="2">
        <v>67</v>
      </c>
      <c r="F6" s="2" t="str">
        <f t="shared" si="0"/>
        <v>Passsed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="1" customFormat="1" spans="1:19">
      <c r="A7" s="2">
        <v>1006</v>
      </c>
      <c r="B7" s="2" t="s">
        <v>22</v>
      </c>
      <c r="C7" s="2" t="s">
        <v>21</v>
      </c>
      <c r="D7" s="2" t="s">
        <v>18</v>
      </c>
      <c r="E7" s="2">
        <v>90</v>
      </c>
      <c r="F7" s="2" t="str">
        <f t="shared" si="0"/>
        <v>Passsed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="1" customFormat="1" spans="1:19">
      <c r="A8" s="2">
        <v>1007</v>
      </c>
      <c r="B8" s="2" t="s">
        <v>18</v>
      </c>
      <c r="C8" s="2" t="s">
        <v>21</v>
      </c>
      <c r="D8" s="2" t="s">
        <v>23</v>
      </c>
      <c r="E8" s="2">
        <v>89</v>
      </c>
      <c r="F8" s="2" t="str">
        <f t="shared" si="0"/>
        <v>Passsed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="1" customFormat="1" spans="1:19">
      <c r="A9" s="2">
        <v>1008</v>
      </c>
      <c r="B9" s="2" t="s">
        <v>20</v>
      </c>
      <c r="C9" s="2" t="s">
        <v>19</v>
      </c>
      <c r="D9" s="2" t="s">
        <v>24</v>
      </c>
      <c r="E9" s="2">
        <v>78</v>
      </c>
      <c r="F9" s="2" t="str">
        <f t="shared" si="0"/>
        <v>Passsed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="1" customFormat="1" spans="1:19">
      <c r="A10" s="2">
        <v>1009</v>
      </c>
      <c r="B10" s="2" t="s">
        <v>22</v>
      </c>
      <c r="C10" s="2" t="s">
        <v>19</v>
      </c>
      <c r="D10" s="2" t="s">
        <v>18</v>
      </c>
      <c r="E10" s="2">
        <v>91</v>
      </c>
      <c r="F10" s="2" t="str">
        <f t="shared" si="0"/>
        <v>Passsed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="1" customFormat="1" spans="1:19">
      <c r="A11" s="2">
        <v>1010</v>
      </c>
      <c r="B11" s="2" t="s">
        <v>18</v>
      </c>
      <c r="C11" s="2" t="s">
        <v>19</v>
      </c>
      <c r="D11" s="2" t="s">
        <v>18</v>
      </c>
      <c r="E11" s="2">
        <v>77</v>
      </c>
      <c r="F11" s="2" t="str">
        <f t="shared" si="0"/>
        <v>Passsed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</sheetData>
  <mergeCells count="12">
    <mergeCell ref="H2:H11"/>
    <mergeCell ref="I2:I11"/>
    <mergeCell ref="J2:J11"/>
    <mergeCell ref="K2:K11"/>
    <mergeCell ref="L2:L11"/>
    <mergeCell ref="M2:M11"/>
    <mergeCell ref="N2:N11"/>
    <mergeCell ref="O2:O11"/>
    <mergeCell ref="P2:P11"/>
    <mergeCell ref="Q2:Q11"/>
    <mergeCell ref="R2:R11"/>
    <mergeCell ref="S2:S1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2026-07-24T15:09:00Z</dcterms:created>
  <dcterms:modified xsi:type="dcterms:W3CDTF">2026-07-26T15:30:32Z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49142E95653E493E8AEAF98A77822910_12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