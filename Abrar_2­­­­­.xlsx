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<sst xmlns="http://schemas.openxmlformats.org/spreadsheetml/2006/main" count="24" uniqueCount="23">
  <si>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r>
      <t>M/S Hasan and Sons</t>
    </r>
    <r>
      <rPr>
        <sz val="11"/>
        <color theme="1"/>
        <rFont val="Arial"/>
        <charset val="134"/>
      </rPr>
      <t xml:space="preserve">
</t>
    </r>
    <r>
      <rPr>
        <b/>
        <sz val="16"/>
        <color theme="1"/>
        <rFont val="Arial"/>
        <charset val="134"/>
      </rPr>
      <t xml:space="preserve">Month of August, 2026 
</t>
    </r>
    <r>
      <rPr>
        <b/>
        <u/>
        <sz val="16"/>
        <color theme="1"/>
        <rFont val="Arial"/>
        <charset val="134"/>
      </rPr>
      <t xml:space="preserve">Salary sheet
</t>
    </r>
    <r>
      <rPr>
        <sz val="16"/>
        <color theme="1"/>
        <rFont val="Arial"/>
        <charset val="134"/>
      </rPr>
      <t xml:space="preserve">                                                                                                  </t>
    </r>
    <r>
      <rPr>
        <b/>
        <sz val="14"/>
        <color theme="1"/>
        <rFont val="Arial"/>
        <charset val="134"/>
      </rPr>
      <t>Date: 1.08.2026</t>
    </r>
  </si>
  <si>
    <t>IF(C5&gt;=50000,C5*40%,IF(C5&gt;=30000,C5*50%,C5*55%))</t>
  </si>
  <si>
    <t xml:space="preserve">Name </t>
  </si>
  <si>
    <t xml:space="preserve">Designing </t>
  </si>
  <si>
    <t xml:space="preserve">Basic </t>
  </si>
  <si>
    <t xml:space="preserve">Hour Rent </t>
  </si>
  <si>
    <t xml:space="preserve">Medical </t>
  </si>
  <si>
    <t xml:space="preserve">Education </t>
  </si>
  <si>
    <t>Provident Fund</t>
  </si>
  <si>
    <t xml:space="preserve"> Gross Salary </t>
  </si>
  <si>
    <t xml:space="preserve">Net Salary </t>
  </si>
  <si>
    <t>x</t>
  </si>
  <si>
    <t>Manager</t>
  </si>
  <si>
    <t>y</t>
  </si>
  <si>
    <t>Senior
Officer</t>
  </si>
  <si>
    <t>z</t>
  </si>
  <si>
    <t>Officer</t>
  </si>
  <si>
    <t>a</t>
  </si>
  <si>
    <t>b</t>
  </si>
  <si>
    <t>Office Asst</t>
  </si>
  <si>
    <t>c</t>
  </si>
  <si>
    <t>Guard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</si>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</sst>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22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theme="1"/>
      <name val="Arial"/>
      <charset val="134"/>
    </font>
    <font>
      <b/>
      <u/>
      <sz val="16"/>
      <color theme="1"/>
      <name val="Arial"/>
      <charset val="134"/>
    </font>
    <font>
      <sz val="16"/>
      <color theme="1"/>
      <name val="Arial"/>
      <charset val="134"/>
    </font>
    <font>
      <b/>
      <sz val="14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4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0" xfId="0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H18" sqref="H18"/>
    </sheetView>
  </sheetViews>
  <sheetFormatPr defaultColWidth="8.88888888888889" defaultRowHeight="14.4"/>
  <cols>
    <col min="1" max="1" width="7.88888888888889" customWidth="1"/>
    <col min="2" max="2" width="12.2222222222222" customWidth="1"/>
    <col min="3" max="3" width="7.55555555555556" customWidth="1"/>
    <col min="4" max="4" width="12.2222222222222" customWidth="1"/>
    <col min="5" max="5" width="9.66666666666667" customWidth="1"/>
    <col min="6" max="6" width="12.1111111111111" customWidth="1"/>
    <col min="7" max="7" width="17.4444444444444" customWidth="1"/>
    <col min="8" max="8" width="15.8888888888889" customWidth="1"/>
    <col min="9" max="9" width="12.5555555555556" customWidth="1"/>
    <col min="11" max="11" width="51" customWidth="1"/>
  </cols>
  <sheetData>
    <row r="1" ht="36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0" customHeight="1" spans="1:11">
      <c r="A2" s="2"/>
      <c r="B2" s="2"/>
      <c r="C2" s="2"/>
      <c r="D2" s="2"/>
      <c r="E2" s="2"/>
      <c r="F2" s="2"/>
      <c r="G2" s="2"/>
      <c r="H2" s="2"/>
      <c r="I2" s="2"/>
    </row>
    <row r="3" ht="45" customHeight="1" spans="1:11">
      <c r="A3" s="2"/>
      <c r="B3" s="2"/>
      <c r="C3" s="2"/>
      <c r="D3" s="2"/>
      <c r="E3" s="2"/>
      <c r="F3" s="2"/>
      <c r="G3" s="2"/>
      <c r="H3" s="2"/>
      <c r="I3" s="2"/>
      <c r="K3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11">
      <c r="A5" s="4" t="s">
        <v>11</v>
      </c>
      <c r="B5" s="4" t="s">
        <v>12</v>
      </c>
      <c r="C5" s="5">
        <v>15000</v>
      </c>
      <c r="D5" s="5">
        <f>IF(C5&gt;=50000,C5*40%,IF(C5&gt;=30000,C5*50%,C5*55%))</f>
        <v>8250</v>
      </c>
      <c r="E5" s="5">
        <v>1500</v>
      </c>
      <c r="F5" s="5">
        <v>750</v>
      </c>
      <c r="G5" s="5">
        <f>C5*10%</f>
        <v>1500</v>
      </c>
      <c r="H5" s="5">
        <f>SUM(C5:F5)</f>
        <v>25500</v>
      </c>
      <c r="I5" s="5">
        <f>H5-G5</f>
        <v>24000</v>
      </c>
    </row>
    <row r="6" ht="27.6" spans="1:11">
      <c r="A6" s="4" t="s">
        <v>13</v>
      </c>
      <c r="B6" s="6" t="s">
        <v>14</v>
      </c>
      <c r="C6" s="5">
        <v>45000</v>
      </c>
      <c r="D6" s="5">
        <f>IF(C6&gt;=50000,C6*40%,IF(C6&gt;=30000,C6*50%,C6*55%))</f>
        <v>22500</v>
      </c>
      <c r="E6" s="5">
        <v>1500</v>
      </c>
      <c r="F6" s="5">
        <v>750</v>
      </c>
      <c r="G6" s="5">
        <f>C6*10%</f>
        <v>4500</v>
      </c>
      <c r="H6" s="5">
        <f>SUM(C6:F6)</f>
        <v>69750</v>
      </c>
      <c r="I6" s="5">
        <f>H6-G6</f>
        <v>65250</v>
      </c>
    </row>
    <row r="7" spans="1:11">
      <c r="A7" s="4" t="s">
        <v>15</v>
      </c>
      <c r="B7" s="4" t="s">
        <v>16</v>
      </c>
      <c r="C7" s="5">
        <v>50000</v>
      </c>
      <c r="D7" s="5">
        <f>IF(C7&gt;=50000,C7*40%,IF(C7&gt;=30000,C7*50%,C7*55%))</f>
        <v>20000</v>
      </c>
      <c r="E7" s="5">
        <v>1500</v>
      </c>
      <c r="F7" s="5">
        <v>750</v>
      </c>
      <c r="G7" s="5">
        <f>C7*10%</f>
        <v>5000</v>
      </c>
      <c r="H7" s="5">
        <f>SUM(C7:F7)</f>
        <v>72250</v>
      </c>
      <c r="I7" s="5">
        <f>H7-G7</f>
        <v>67250</v>
      </c>
    </row>
    <row r="8" spans="1:11">
      <c r="A8" s="4" t="s">
        <v>17</v>
      </c>
      <c r="B8" s="4" t="s">
        <v>16</v>
      </c>
      <c r="C8" s="5">
        <v>30000</v>
      </c>
      <c r="D8" s="5">
        <f>IF(C8&gt;=50000,C8*40%,IF(C8&gt;=30000,C8*50%,C8*55%))</f>
        <v>15000</v>
      </c>
      <c r="E8" s="5">
        <v>1500</v>
      </c>
      <c r="F8" s="5">
        <v>750</v>
      </c>
      <c r="G8" s="5">
        <f>C8*10%</f>
        <v>3000</v>
      </c>
      <c r="H8" s="5">
        <f>SUM(C8:F8)</f>
        <v>47250</v>
      </c>
      <c r="I8" s="5">
        <f>H8-G8</f>
        <v>44250</v>
      </c>
    </row>
    <row r="9" spans="1:11">
      <c r="A9" s="4" t="s">
        <v>18</v>
      </c>
      <c r="B9" s="4" t="s">
        <v>19</v>
      </c>
      <c r="C9" s="5">
        <v>30000</v>
      </c>
      <c r="D9" s="5">
        <f>IF(C9&gt;=50000,C9*40%,IF(C9&gt;=30000,C9*50%,C9*55%))</f>
        <v>15000</v>
      </c>
      <c r="E9" s="5">
        <v>1500</v>
      </c>
      <c r="F9" s="5">
        <v>750</v>
      </c>
      <c r="G9" s="5">
        <f>C9*10%</f>
        <v>3000</v>
      </c>
      <c r="H9" s="5">
        <f>SUM(C9:F9)</f>
        <v>47250</v>
      </c>
      <c r="I9" s="5">
        <f>H9-G9</f>
        <v>44250</v>
      </c>
    </row>
    <row r="10" spans="1:11">
      <c r="A10" s="4" t="s">
        <v>20</v>
      </c>
      <c r="B10" s="4" t="s">
        <v>21</v>
      </c>
      <c r="C10" s="5">
        <v>15000</v>
      </c>
      <c r="D10" s="5">
        <f>IF(C10&gt;=50000,C10*40%,IF(C10&gt;=30000,C10*50%,C10*55%))</f>
        <v>8250</v>
      </c>
      <c r="E10" s="5">
        <v>1500</v>
      </c>
      <c r="F10" s="5">
        <v>750</v>
      </c>
      <c r="G10" s="5">
        <f>C10*10%</f>
        <v>1500</v>
      </c>
      <c r="H10" s="5">
        <f>SUM(C10:F10)</f>
        <v>25500</v>
      </c>
      <c r="I10" s="5">
        <f>H10-G10</f>
        <v>24000</v>
      </c>
    </row>
    <row r="11" ht="42" customHeight="1" spans="1:11">
      <c r="A11" s="7" t="s">
        <v>22</v>
      </c>
      <c r="B11" s="8"/>
      <c r="C11" s="8"/>
      <c r="D11" s="8"/>
      <c r="E11" s="8"/>
      <c r="F11" s="8"/>
      <c r="G11" s="8"/>
      <c r="H11" s="8"/>
      <c r="I11" s="8"/>
    </row>
    <row r="12" spans="1:11">
      <c r="A12" s="9"/>
      <c r="B12" s="9"/>
      <c r="C12" s="9"/>
      <c r="D12" s="9"/>
      <c r="E12" s="9"/>
      <c r="F12" s="9"/>
      <c r="G12" s="9"/>
      <c r="H12" s="9"/>
      <c r="I12" s="9"/>
    </row>
    <row r="13" spans="1:11">
      <c r="A13" s="9"/>
      <c r="B13" s="9"/>
      <c r="C13" s="9"/>
      <c r="D13" s="9"/>
      <c r="E13" s="9"/>
      <c r="F13" s="9"/>
      <c r="G13" s="9"/>
      <c r="H13" s="9"/>
      <c r="I13" s="9"/>
    </row>
  </sheetData>
  <mergeCells count="4">
    <mergeCell ref="A11:I11"/>
    <mergeCell ref="A12:I12"/>
    <mergeCell ref="A13:I13"/>
    <mergeCell ref="A1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2026-07-26T14:21:38Z</dcterms:created>
  <dcterms:modified xsi:type="dcterms:W3CDTF">2026-07-26T15:30:25Z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92976DFC48F84A03AAB7C19B2A701113_11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